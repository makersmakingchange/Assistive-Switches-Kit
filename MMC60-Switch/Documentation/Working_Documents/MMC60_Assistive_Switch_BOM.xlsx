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ephanDobri\OneDrive - Neil Squire Society\Documents\GitHub\MMC60_Assistive_Switch\Documentation\Working_Documents\"/>
    </mc:Choice>
  </mc:AlternateContent>
  <xr:revisionPtr revIDLastSave="0" documentId="13_ncr:1_{EC0CF97F-1AB6-4131-87E1-C3334C9A11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F8" i="1"/>
  <c r="G8" i="1" s="1"/>
  <c r="F9" i="1"/>
  <c r="G9" i="1" s="1"/>
  <c r="F10" i="1"/>
  <c r="G10" i="1" s="1"/>
  <c r="F11" i="1"/>
  <c r="G11" i="1" s="1"/>
  <c r="F7" i="1"/>
  <c r="G7" i="1" s="1"/>
  <c r="D2" i="1" l="1"/>
  <c r="E2" i="1"/>
  <c r="E15" i="1"/>
  <c r="E16" i="1"/>
  <c r="E17" i="1"/>
  <c r="E18" i="1"/>
  <c r="E14" i="1"/>
  <c r="F6" i="1" l="1"/>
  <c r="G6" i="1" s="1"/>
  <c r="F5" i="1"/>
  <c r="G5" i="1" s="1"/>
  <c r="C2" i="1" l="1"/>
</calcChain>
</file>

<file path=xl/sharedStrings.xml><?xml version="1.0" encoding="utf-8"?>
<sst xmlns="http://schemas.openxmlformats.org/spreadsheetml/2006/main" count="56" uniqueCount="49">
  <si>
    <t>Total Cost</t>
  </si>
  <si>
    <t>Total Print time (hr)</t>
  </si>
  <si>
    <t>Total filament (g)</t>
  </si>
  <si>
    <r>
      <t xml:space="preserve">Version: </t>
    </r>
    <r>
      <rPr>
        <b/>
        <u/>
        <sz val="14"/>
        <color theme="1"/>
        <rFont val="Calibri"/>
        <family val="2"/>
        <scheme val="minor"/>
      </rPr>
      <t>V1.0</t>
    </r>
  </si>
  <si>
    <t>Commercial Parts:</t>
  </si>
  <si>
    <t>Part type (Electrical. Mechanical, Sanitization, ect)</t>
  </si>
  <si>
    <t>Part Name</t>
  </si>
  <si>
    <t>Quantity Needed</t>
  </si>
  <si>
    <t>Pkg Quantity</t>
  </si>
  <si>
    <t>Price per package</t>
  </si>
  <si>
    <t>Price per Unit</t>
  </si>
  <si>
    <t>Price for qty needed</t>
  </si>
  <si>
    <t>Link</t>
  </si>
  <si>
    <t>3D Printed Parts                                                                                     ESTIMATED PRICING USING 1KG ROLL COST:</t>
  </si>
  <si>
    <t>Part</t>
  </si>
  <si>
    <t>Description</t>
  </si>
  <si>
    <t>TOTAL Mass (g)</t>
  </si>
  <si>
    <t>Estimated Price</t>
  </si>
  <si>
    <t>Print Time (Min)</t>
  </si>
  <si>
    <t>Total Print Cost:</t>
  </si>
  <si>
    <t>Tools for Assembly</t>
  </si>
  <si>
    <t>Alternatives (if there are other sources for some parts link them below)</t>
  </si>
  <si>
    <t>Part and description</t>
  </si>
  <si>
    <t>Device: MMC60_Assistive_Switch</t>
  </si>
  <si>
    <t>Date Created: Feb 2, 2026</t>
  </si>
  <si>
    <t>3.5mm Mono Jack</t>
  </si>
  <si>
    <t>1/4-20 Hex nut</t>
  </si>
  <si>
    <t>1/4-20, 1/2" length Hex Bolt</t>
  </si>
  <si>
    <t>1/4-20, 5/16" length T-Nut</t>
  </si>
  <si>
    <t>3.5 mm Mono Cable, 10 ft, Male to Male</t>
  </si>
  <si>
    <t>Limit Switch</t>
  </si>
  <si>
    <t>https://www.digikey.ca/en/products/detail/cui-inc/MJ-3502/281321</t>
  </si>
  <si>
    <t>https://www.primecables.ca/p-370665-cab-aud-200-all-35mm-18-inch-mono-ts-male-to-male-28awg-ft4-cable-black#sku383507</t>
  </si>
  <si>
    <t>https://www.digikey.ca/en/products/detail/omron-electronics-inc-emc-div/SS-3GP/664724</t>
  </si>
  <si>
    <t>#4 3/8 length screw</t>
  </si>
  <si>
    <t>https://www.digikey.ca/en/products/detail/serpac/6005/307599</t>
  </si>
  <si>
    <t>https://www.digikey.ca/en/products/detail/80-20-llc/24202/28311218</t>
  </si>
  <si>
    <t>https://www.homedepot.ca/product/paulin-1-4-inch-20-tee-nuts-4-prong-5-16-inch-barrel-length/1000129429</t>
  </si>
  <si>
    <t>https://www.homedepot.ca/product/paulin-1-4-20-x-1-2-inch-hex-head-cap-screw-18-8-stainless-steel-unc/1000142251</t>
  </si>
  <si>
    <t>https://a.co/d/083bJTZo</t>
  </si>
  <si>
    <t>https://a.co/d/0fvi6Sdn</t>
  </si>
  <si>
    <t>https://a.co/d/04irVJAz</t>
  </si>
  <si>
    <t>https://a.co/d/0aEeQ1J0</t>
  </si>
  <si>
    <t>MMC60_Base_Bottom_EN-FR</t>
  </si>
  <si>
    <t>MMC60_Button</t>
  </si>
  <si>
    <t>RFS_Base_Top</t>
  </si>
  <si>
    <t>RFS_Flexure</t>
  </si>
  <si>
    <t>RFS_Pins</t>
  </si>
  <si>
    <t>RFS_Sw_Jack_Mount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</si>
</sst>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Roboto Black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rgb="FFD9D9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5" fillId="0" borderId="0" xfId="0" applyFont="1"/>
    <xf numFmtId="0" fontId="2" fillId="2" borderId="0" xfId="2" applyFont="1"/>
    <xf numFmtId="0" fontId="3" fillId="3" borderId="0" xfId="3" applyFont="1"/>
    <xf numFmtId="0" fontId="2" fillId="4" borderId="0" xfId="4" applyFont="1"/>
    <xf numFmtId="164" fontId="4" fillId="2" borderId="0" xfId="2" applyNumberFormat="1"/>
    <xf numFmtId="0" fontId="4" fillId="4" borderId="0" xfId="4"/>
    <xf numFmtId="0" fontId="0" fillId="5" borderId="1" xfId="0" applyFill="1" applyBorder="1"/>
    <xf numFmtId="0" fontId="6" fillId="0" borderId="0" xfId="5"/>
    <xf numFmtId="44" fontId="0" fillId="0" borderId="0" xfId="1" applyFont="1"/>
    <xf numFmtId="0" fontId="0" fillId="5" borderId="2" xfId="0" applyFill="1" applyBorder="1"/>
    <xf numFmtId="0" fontId="0" fillId="5" borderId="3" xfId="0" applyFill="1" applyBorder="1"/>
    <xf numFmtId="0" fontId="3" fillId="0" borderId="0" xfId="0" applyFont="1"/>
    <xf numFmtId="44" fontId="0" fillId="0" borderId="0" xfId="1" applyFont="1" applyFill="1"/>
    <xf numFmtId="0" fontId="8" fillId="0" borderId="0" xfId="0" applyFont="1"/>
    <xf numFmtId="0" fontId="7" fillId="5" borderId="1" xfId="0" applyFont="1" applyFill="1" applyBorder="1"/>
    <xf numFmtId="0" fontId="0" fillId="5" borderId="5" xfId="0" applyFill="1" applyBorder="1"/>
    <xf numFmtId="44" fontId="0" fillId="6" borderId="4" xfId="1" applyFont="1" applyFill="1" applyBorder="1"/>
    <xf numFmtId="0" fontId="0" fillId="5" borderId="6" xfId="0" applyFill="1" applyBorder="1"/>
    <xf numFmtId="0" fontId="3" fillId="6" borderId="4" xfId="0" applyFont="1" applyFill="1" applyBorder="1"/>
    <xf numFmtId="44" fontId="3" fillId="6" borderId="4" xfId="0" applyNumberFormat="1" applyFont="1" applyFill="1" applyBorder="1"/>
    <xf numFmtId="44" fontId="0" fillId="7" borderId="0" xfId="1" applyFont="1" applyFill="1" applyBorder="1"/>
    <xf numFmtId="2" fontId="10" fillId="3" borderId="0" xfId="3" applyNumberFormat="1" applyFont="1"/>
    <xf numFmtId="0" fontId="3" fillId="5" borderId="7" xfId="0" applyFont="1" applyFill="1" applyBorder="1"/>
    <xf numFmtId="0" fontId="0" fillId="5" borderId="8" xfId="0" applyFill="1" applyBorder="1"/>
    <xf numFmtId="0" fontId="0" fillId="0" borderId="9" xfId="0" applyBorder="1"/>
    <xf numFmtId="44" fontId="0" fillId="8" borderId="10" xfId="1" applyFont="1" applyFill="1" applyBorder="1"/>
    <xf numFmtId="0" fontId="0" fillId="5" borderId="11" xfId="0" applyFill="1" applyBorder="1"/>
    <xf numFmtId="0" fontId="0" fillId="8" borderId="1" xfId="0" applyFill="1" applyBorder="1"/>
    <xf numFmtId="44" fontId="0" fillId="0" borderId="0" xfId="1" applyFont="1" applyFill="1" applyBorder="1"/>
  </cellXfs>
  <cellStyles count="6">
    <cellStyle name="60% - Accent4" xfId="3" builtinId="44"/>
    <cellStyle name="Accent2" xfId="2" builtinId="33"/>
    <cellStyle name="Accent5" xfId="4" builtinId="45"/>
    <cellStyle name="Currency" xfId="1" builtinId="4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2" workbookViewId="0">
      <selection activeCell="E21" sqref="E21"/>
    </sheetView>
  </sheetViews>
  <sheetFormatPr defaultRowHeight="15" x14ac:dyDescent="0.25"/>
  <cols>
    <col min="1" max="1" width="89.42578125" bestFit="1" customWidth="1"/>
    <col min="2" max="2" width="37.28515625" bestFit="1" customWidth="1"/>
    <col min="3" max="3" width="15.85546875" customWidth="1"/>
    <col min="4" max="4" width="18.7109375" bestFit="1" customWidth="1"/>
    <col min="5" max="5" width="18.7109375" customWidth="1"/>
    <col min="6" max="6" width="15.140625" customWidth="1"/>
    <col min="7" max="7" width="20.42578125" customWidth="1"/>
    <col min="8" max="8" width="17.28515625" customWidth="1"/>
    <col min="9" max="9" width="17.42578125" bestFit="1" customWidth="1"/>
    <col min="10" max="10" width="17.7109375" bestFit="1" customWidth="1"/>
    <col min="11" max="11" width="12.28515625" bestFit="1" customWidth="1"/>
    <col min="12" max="12" width="89.85546875" bestFit="1" customWidth="1"/>
  </cols>
  <sheetData>
    <row r="1" spans="1:12" ht="35.25" x14ac:dyDescent="0.5">
      <c r="A1" s="1" t="s">
        <v>23</v>
      </c>
      <c r="C1" s="2" t="s">
        <v>0</v>
      </c>
      <c r="D1" s="3" t="s">
        <v>1</v>
      </c>
      <c r="E1" s="4" t="s">
        <v>2</v>
      </c>
    </row>
    <row r="2" spans="1:12" ht="18.75" x14ac:dyDescent="0.3">
      <c r="A2" s="14" t="s">
        <v>3</v>
      </c>
      <c r="B2" s="12" t="s">
        <v>24</v>
      </c>
      <c r="C2" s="5">
        <f>SUM(G5:G12)+E20</f>
        <v>12.143500000000001</v>
      </c>
      <c r="D2" s="22">
        <f>SUM(F14:F18)/60</f>
        <v>1.9666666666666666</v>
      </c>
      <c r="E2" s="6">
        <f>SUM(D14:D18)</f>
        <v>39.4</v>
      </c>
    </row>
    <row r="3" spans="1:12" ht="16.5" thickBot="1" x14ac:dyDescent="0.3">
      <c r="A3" s="15" t="s">
        <v>4</v>
      </c>
    </row>
    <row r="4" spans="1:12" ht="15.75" thickBot="1" x14ac:dyDescent="0.3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16" t="s">
        <v>10</v>
      </c>
      <c r="G4" s="16" t="s">
        <v>11</v>
      </c>
      <c r="H4" s="7"/>
      <c r="I4" s="7" t="s">
        <v>12</v>
      </c>
      <c r="J4" s="7"/>
      <c r="K4" s="7"/>
    </row>
    <row r="5" spans="1:12" x14ac:dyDescent="0.25">
      <c r="B5" t="s">
        <v>25</v>
      </c>
      <c r="C5">
        <v>1</v>
      </c>
      <c r="D5">
        <v>1</v>
      </c>
      <c r="E5" s="9">
        <v>2.4700000000000002</v>
      </c>
      <c r="F5" s="17">
        <f>E5/D5</f>
        <v>2.4700000000000002</v>
      </c>
      <c r="G5" s="17">
        <f>F5*C5</f>
        <v>2.4700000000000002</v>
      </c>
      <c r="I5" s="8" t="s">
        <v>31</v>
      </c>
    </row>
    <row r="6" spans="1:12" x14ac:dyDescent="0.25">
      <c r="B6" t="s">
        <v>34</v>
      </c>
      <c r="C6">
        <v>5</v>
      </c>
      <c r="D6">
        <v>1</v>
      </c>
      <c r="E6" s="9">
        <v>0.51800000000000002</v>
      </c>
      <c r="F6" s="17">
        <f>E6/D6</f>
        <v>0.51800000000000002</v>
      </c>
      <c r="G6" s="17">
        <f>F6*C6</f>
        <v>2.59</v>
      </c>
      <c r="I6" s="8" t="s">
        <v>35</v>
      </c>
    </row>
    <row r="7" spans="1:12" x14ac:dyDescent="0.25">
      <c r="B7" t="s">
        <v>26</v>
      </c>
      <c r="C7">
        <v>2</v>
      </c>
      <c r="D7">
        <v>1</v>
      </c>
      <c r="E7" s="9">
        <v>0.22</v>
      </c>
      <c r="F7" s="17">
        <f t="shared" ref="F7:F11" si="0">E7/D7</f>
        <v>0.22</v>
      </c>
      <c r="G7" s="17">
        <f>F7*C7</f>
        <v>0.44</v>
      </c>
      <c r="I7" s="8" t="s">
        <v>36</v>
      </c>
    </row>
    <row r="8" spans="1:12" x14ac:dyDescent="0.25">
      <c r="B8" t="s">
        <v>27</v>
      </c>
      <c r="C8">
        <v>1</v>
      </c>
      <c r="D8">
        <v>1</v>
      </c>
      <c r="E8" s="29">
        <v>0.57999999999999996</v>
      </c>
      <c r="F8" s="17">
        <f t="shared" si="0"/>
        <v>0.57999999999999996</v>
      </c>
      <c r="G8" s="17">
        <f t="shared" ref="G8:G11" si="1">F8*C8</f>
        <v>0.57999999999999996</v>
      </c>
      <c r="I8" t="s">
        <v>38</v>
      </c>
    </row>
    <row r="9" spans="1:12" x14ac:dyDescent="0.25">
      <c r="B9" t="s">
        <v>28</v>
      </c>
      <c r="C9">
        <v>1</v>
      </c>
      <c r="D9">
        <v>1</v>
      </c>
      <c r="E9" s="29">
        <v>0.55000000000000004</v>
      </c>
      <c r="F9" s="17">
        <f t="shared" si="0"/>
        <v>0.55000000000000004</v>
      </c>
      <c r="G9" s="17">
        <f t="shared" si="1"/>
        <v>0.55000000000000004</v>
      </c>
      <c r="I9" t="s">
        <v>37</v>
      </c>
    </row>
    <row r="10" spans="1:12" x14ac:dyDescent="0.25">
      <c r="B10" t="s">
        <v>29</v>
      </c>
      <c r="C10">
        <v>1</v>
      </c>
      <c r="D10">
        <v>1</v>
      </c>
      <c r="E10">
        <v>2.89</v>
      </c>
      <c r="F10" s="17">
        <f t="shared" si="0"/>
        <v>2.89</v>
      </c>
      <c r="G10" s="17">
        <f t="shared" si="1"/>
        <v>2.89</v>
      </c>
      <c r="I10" t="s">
        <v>32</v>
      </c>
    </row>
    <row r="11" spans="1:12" ht="15.75" thickBot="1" x14ac:dyDescent="0.3">
      <c r="B11" s="25" t="s">
        <v>30</v>
      </c>
      <c r="C11">
        <v>1</v>
      </c>
      <c r="D11">
        <v>1</v>
      </c>
      <c r="E11">
        <v>1.55</v>
      </c>
      <c r="F11" s="17">
        <f t="shared" si="0"/>
        <v>1.55</v>
      </c>
      <c r="G11" s="17">
        <f t="shared" si="1"/>
        <v>1.55</v>
      </c>
      <c r="I11" t="s">
        <v>33</v>
      </c>
    </row>
    <row r="12" spans="1:12" ht="15.75" thickBot="1" x14ac:dyDescent="0.3">
      <c r="A12" s="23" t="s">
        <v>13</v>
      </c>
      <c r="B12" s="26">
        <v>25</v>
      </c>
      <c r="E12" s="9"/>
      <c r="F12" s="21"/>
      <c r="G12" s="21"/>
      <c r="L12" s="8"/>
    </row>
    <row r="13" spans="1:12" ht="15.75" thickBot="1" x14ac:dyDescent="0.3">
      <c r="A13" s="7" t="s">
        <v>14</v>
      </c>
      <c r="B13" s="24" t="s">
        <v>15</v>
      </c>
      <c r="C13" s="7" t="s">
        <v>7</v>
      </c>
      <c r="D13" s="7" t="s">
        <v>16</v>
      </c>
      <c r="E13" s="16" t="s">
        <v>17</v>
      </c>
      <c r="F13" s="7" t="s">
        <v>18</v>
      </c>
      <c r="G13" s="7" t="s">
        <v>12</v>
      </c>
    </row>
    <row r="14" spans="1:12" x14ac:dyDescent="0.25">
      <c r="A14" t="s">
        <v>43</v>
      </c>
      <c r="C14">
        <v>1</v>
      </c>
      <c r="D14">
        <v>20.74</v>
      </c>
      <c r="E14" s="17">
        <f>(D14/1000)*$B$12</f>
        <v>0.51849999999999996</v>
      </c>
      <c r="F14">
        <v>56</v>
      </c>
      <c r="G14" s="8"/>
    </row>
    <row r="15" spans="1:12" x14ac:dyDescent="0.25">
      <c r="A15" t="s">
        <v>44</v>
      </c>
      <c r="C15">
        <v>1</v>
      </c>
      <c r="D15">
        <v>9.1999999999999993</v>
      </c>
      <c r="E15" s="17">
        <f t="shared" ref="E15:E19" si="2">(D15/1000)*$B$12</f>
        <v>0.22999999999999998</v>
      </c>
      <c r="F15">
        <v>24</v>
      </c>
      <c r="G15" s="8"/>
    </row>
    <row r="16" spans="1:12" x14ac:dyDescent="0.25">
      <c r="A16" t="s">
        <v>45</v>
      </c>
      <c r="C16">
        <v>1</v>
      </c>
      <c r="D16">
        <v>5.67</v>
      </c>
      <c r="E16" s="17">
        <f t="shared" si="2"/>
        <v>0.14174999999999999</v>
      </c>
      <c r="F16">
        <v>16</v>
      </c>
      <c r="G16" s="8"/>
    </row>
    <row r="17" spans="1:12" x14ac:dyDescent="0.25">
      <c r="A17" t="s">
        <v>46</v>
      </c>
      <c r="C17">
        <v>1</v>
      </c>
      <c r="D17">
        <v>3.53</v>
      </c>
      <c r="E17" s="17">
        <f t="shared" si="2"/>
        <v>8.8249999999999995E-2</v>
      </c>
      <c r="F17">
        <v>15</v>
      </c>
      <c r="G17" s="8"/>
    </row>
    <row r="18" spans="1:12" x14ac:dyDescent="0.25">
      <c r="A18" t="s">
        <v>47</v>
      </c>
      <c r="C18">
        <v>1</v>
      </c>
      <c r="D18">
        <v>0.26</v>
      </c>
      <c r="E18" s="17">
        <f>(D18/1000)*$B$12</f>
        <v>6.5000000000000006E-3</v>
      </c>
      <c r="F18">
        <v>7</v>
      </c>
      <c r="G18" s="8"/>
    </row>
    <row r="19" spans="1:12" x14ac:dyDescent="0.25">
      <c r="A19" t="s">
        <v>48</v>
      </c>
      <c r="C19">
        <v>1</v>
      </c>
      <c r="D19">
        <v>3.54</v>
      </c>
      <c r="E19" s="17">
        <f>(D19/1000)*$B$12</f>
        <v>8.8500000000000009E-2</v>
      </c>
      <c r="F19">
        <v>15</v>
      </c>
      <c r="G19" s="8"/>
    </row>
    <row r="20" spans="1:12" ht="15.75" thickBot="1" x14ac:dyDescent="0.3">
      <c r="A20" s="12"/>
      <c r="D20" s="19" t="s">
        <v>19</v>
      </c>
      <c r="E20" s="20">
        <f>SUM(E14:E19)</f>
        <v>1.0734999999999999</v>
      </c>
      <c r="G20" s="13"/>
    </row>
    <row r="21" spans="1:12" ht="15.75" thickBot="1" x14ac:dyDescent="0.3">
      <c r="A21" s="10" t="s">
        <v>20</v>
      </c>
      <c r="B21" s="11"/>
      <c r="C21" s="11"/>
      <c r="D21" s="18"/>
      <c r="E21" s="18"/>
      <c r="F21" s="11"/>
      <c r="G21" s="11"/>
      <c r="H21" s="11"/>
      <c r="I21" s="11"/>
      <c r="J21" s="11"/>
      <c r="K21" s="11"/>
      <c r="L21" s="11"/>
    </row>
    <row r="27" spans="1:12" ht="15.75" thickBot="1" x14ac:dyDescent="0.3"/>
    <row r="28" spans="1:12" ht="15.75" thickBot="1" x14ac:dyDescent="0.3">
      <c r="A28" s="27" t="s">
        <v>21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15.75" thickBot="1" x14ac:dyDescent="0.3">
      <c r="A29" s="28" t="s">
        <v>22</v>
      </c>
      <c r="B29" s="28" t="s">
        <v>12</v>
      </c>
    </row>
    <row r="30" spans="1:12" x14ac:dyDescent="0.25">
      <c r="A30" t="s">
        <v>34</v>
      </c>
      <c r="B30" t="s">
        <v>40</v>
      </c>
    </row>
    <row r="31" spans="1:12" x14ac:dyDescent="0.25">
      <c r="A31" t="s">
        <v>26</v>
      </c>
      <c r="B31" t="s">
        <v>41</v>
      </c>
    </row>
    <row r="32" spans="1:12" x14ac:dyDescent="0.25">
      <c r="A32" t="s">
        <v>27</v>
      </c>
      <c r="B32" t="s">
        <v>42</v>
      </c>
    </row>
    <row r="33" spans="1:2" x14ac:dyDescent="0.25">
      <c r="A33" t="s">
        <v>28</v>
      </c>
      <c r="B33" t="s">
        <v>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5913e6-4bf0-458f-8160-f18e142d04ff" xsi:nil="true"/>
    <lcf76f155ced4ddcb4097134ff3c332f xmlns="e718a8af-5d48-45b1-a7fb-cef00c107a7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44D19606E8540AF995795CBBBCE63" ma:contentTypeVersion="16" ma:contentTypeDescription="Create a new document." ma:contentTypeScope="" ma:versionID="72518c49cc9021390dbba2958e7a3f0c">
  <xsd:schema xmlns:xsd="http://www.w3.org/2001/XMLSchema" xmlns:xs="http://www.w3.org/2001/XMLSchema" xmlns:p="http://schemas.microsoft.com/office/2006/metadata/properties" xmlns:ns2="e718a8af-5d48-45b1-a7fb-cef00c107a7a" xmlns:ns3="715913e6-4bf0-458f-8160-f18e142d04ff" targetNamespace="http://schemas.microsoft.com/office/2006/metadata/properties" ma:root="true" ma:fieldsID="175092e7cad6d6b91dac7c2ca96d6cf8" ns2:_="" ns3:_="">
    <xsd:import namespace="e718a8af-5d48-45b1-a7fb-cef00c107a7a"/>
    <xsd:import namespace="715913e6-4bf0-458f-8160-f18e142d04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8a8af-5d48-45b1-a7fb-cef00c107a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913e6-4bf0-458f-8160-f18e142d04f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05470fb-f248-421d-a4ae-c1bb0b45488d}" ma:internalName="TaxCatchAll" ma:showField="CatchAllData" ma:web="715913e6-4bf0-458f-8160-f18e142d04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958292-C6C4-482B-887A-6CF9FB19AB74}">
  <ds:schemaRefs>
    <ds:schemaRef ds:uri="http://schemas.microsoft.com/office/2006/metadata/properties"/>
    <ds:schemaRef ds:uri="http://schemas.microsoft.com/office/infopath/2007/PartnerControls"/>
    <ds:schemaRef ds:uri="715913e6-4bf0-458f-8160-f18e142d04ff"/>
    <ds:schemaRef ds:uri="e718a8af-5d48-45b1-a7fb-cef00c107a7a"/>
  </ds:schemaRefs>
</ds:datastoreItem>
</file>

<file path=customXml/itemProps2.xml><?xml version="1.0" encoding="utf-8"?>
<ds:datastoreItem xmlns:ds="http://schemas.openxmlformats.org/officeDocument/2006/customXml" ds:itemID="{4740145F-09D2-466B-B9A2-2798696B0A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D58F07-30E0-465A-9CA7-501C97F78C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18a8af-5d48-45b1-a7fb-cef00c107a7a"/>
    <ds:schemaRef ds:uri="715913e6-4bf0-458f-8160-f18e142d0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MMC Co-op</dc:creator>
  <cp:keywords/>
  <dc:description/>
  <cp:lastModifiedBy>Stephan Dobri</cp:lastModifiedBy>
  <cp:revision/>
  <dcterms:created xsi:type="dcterms:W3CDTF">2021-04-20T01:54:08Z</dcterms:created>
  <dcterms:modified xsi:type="dcterms:W3CDTF">2026-02-03T21:43:54Z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0x0101001DC44D19606E8540AF995795CBBBCE63</vt:lpwstr>
  </property>
  <property fmtid="{D5CDD505-2E9C-101B-9397-08002B2CF9AE}" pid="3" name="MediaServiceImageTags">
    <vt:lpwstr/>
  </property>
</Properties>
</file>